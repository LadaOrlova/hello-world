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<sst xmlns="http://schemas.openxmlformats.org/spreadsheetml/2006/main" count="32" uniqueCount="32">
  <si>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</si>
  <si>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</si>
  <si>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</si>
  <si>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</si>
  <si>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</si>
  <si>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</si>
  <si>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(3465) - 1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</si>
  <si>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</si>
  <si>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</si>
  <si>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</si>
  <si>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</si>
  <si>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</si>
  <si>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</si>
  <si>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</si>
  <si>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</si>
  <si>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</si>
  <si>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</si>
  <si>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   Short-term business loans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</si>
  <si>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</si>
  <si>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</si>
  <si>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</si>
  <si>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</si>
  <si>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</si>
  <si>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Opening balance equity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</si>
  <si>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</si>
  <si>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</si>
  <si>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</si>
  <si>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</si>
  <si>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Thursday, Jan 04, 2024 01:18:11 PM GMT-8 - Accrual Basis</t>
  </si>
  <si>
    <t>Zamesin INC</t>
  </si>
  <si>
    <t>Balance Sheet</t>
  </si>
  <si>
    <t>As of January 4, 2024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</si>
</sst>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6"/>
  <sheetViews>
    <sheetView workbookViewId="0" tabSelected="true"/>
  </sheetViews>
  <sheetFormatPr defaultRowHeight="15.0"/>
  <cols>
    <col min="1" max="1" width="35.234375" customWidth="true"/>
    <col min="2" max="2" width="12.03125" customWidth="true"/>
  </cols>
  <sheetData>
    <row r="1">
      <c r="A1" s="9" t="s">
        <v>29</v>
      </c>
      <c r="B1"/>
    </row>
    <row r="2">
      <c r="A2" s="9" t="s">
        <v>30</v>
      </c>
      <c r="B2"/>
    </row>
    <row r="3">
      <c r="A3" s="10" t="s">
        <v>31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810.08</f>
        <v>0.0</v>
      </c>
    </row>
    <row r="10">
      <c r="A10" t="s" s="3">
        <v>5</v>
      </c>
      <c r="B10" t="n" s="5">
        <f>100.00</f>
        <v>0.0</v>
      </c>
    </row>
    <row r="11">
      <c r="A11" t="s" s="3">
        <v>6</v>
      </c>
      <c r="B11" t="n" s="5">
        <f>175.25</f>
        <v>0.0</v>
      </c>
    </row>
    <row r="12">
      <c r="A12" t="s" s="3">
        <v>7</v>
      </c>
      <c r="B12" t="n" s="5">
        <f>0.20</f>
        <v>0.0</v>
      </c>
    </row>
    <row r="13">
      <c r="A13" t="s" s="3">
        <v>8</v>
      </c>
      <c r="B13" t="n" s="5">
        <f>9.50</f>
        <v>0.0</v>
      </c>
    </row>
    <row r="14">
      <c r="A14" t="s" s="3">
        <v>9</v>
      </c>
      <c r="B14" t="n" s="6">
        <f>((((B9)+(B10))+(B11))+(B12))+(B13)</f>
        <v>0.0</v>
      </c>
    </row>
    <row r="15">
      <c r="A15" t="s" s="3">
        <v>10</v>
      </c>
      <c r="B15" t="n" s="6">
        <f>B14</f>
        <v>0.0</v>
      </c>
    </row>
    <row r="16">
      <c r="A16" t="s" s="3">
        <v>11</v>
      </c>
      <c r="B16" t="n" s="7">
        <f>B15</f>
        <v>0.0</v>
      </c>
    </row>
    <row r="17">
      <c r="A17" t="s" s="3">
        <v>12</v>
      </c>
      <c r="B17" s="4"/>
    </row>
    <row r="18">
      <c r="A18" t="s" s="3">
        <v>13</v>
      </c>
      <c r="B18" s="4"/>
    </row>
    <row r="19">
      <c r="A19" t="s" s="3">
        <v>14</v>
      </c>
      <c r="B19" s="4"/>
    </row>
    <row r="20">
      <c r="A20" t="s" s="3">
        <v>15</v>
      </c>
      <c r="B20" s="4"/>
    </row>
    <row r="21">
      <c r="A21" t="s" s="3">
        <v>16</v>
      </c>
      <c r="B21" t="n" s="5">
        <f>-813.05</f>
        <v>0.0</v>
      </c>
    </row>
    <row r="22">
      <c r="A22" t="s" s="3">
        <v>17</v>
      </c>
      <c r="B22" t="n" s="5">
        <f>11867.00</f>
        <v>0.0</v>
      </c>
    </row>
    <row r="23">
      <c r="A23" t="s" s="3">
        <v>18</v>
      </c>
      <c r="B23" t="n" s="6">
        <f>(B21)+(B22)</f>
        <v>0.0</v>
      </c>
    </row>
    <row r="24">
      <c r="A24" t="s" s="3">
        <v>19</v>
      </c>
      <c r="B24" t="n" s="6">
        <f>B23</f>
        <v>0.0</v>
      </c>
    </row>
    <row r="25">
      <c r="A25" t="s" s="3">
        <v>20</v>
      </c>
      <c r="B25" t="n" s="6">
        <f>B24</f>
        <v>0.0</v>
      </c>
    </row>
    <row r="26">
      <c r="A26" t="s" s="3">
        <v>21</v>
      </c>
      <c r="B26" s="4"/>
    </row>
    <row r="27">
      <c r="A27" t="s" s="3">
        <v>22</v>
      </c>
      <c r="B27" t="n" s="5">
        <f>100.00</f>
        <v>0.0</v>
      </c>
    </row>
    <row r="28">
      <c r="A28" t="s" s="3">
        <v>23</v>
      </c>
      <c r="B28" t="n" s="5">
        <f>0.00</f>
        <v>0.0</v>
      </c>
    </row>
    <row r="29">
      <c r="A29" t="s" s="3">
        <v>24</v>
      </c>
      <c r="B29" t="n" s="5">
        <f>-10058.92</f>
        <v>0.0</v>
      </c>
    </row>
    <row r="30">
      <c r="A30" t="s" s="3">
        <v>25</v>
      </c>
      <c r="B30" s="4"/>
    </row>
    <row r="31">
      <c r="A31" t="s" s="3">
        <v>26</v>
      </c>
      <c r="B31" t="n" s="6">
        <f>(((B27)+(B28))+(B29))+(B30)</f>
        <v>0.0</v>
      </c>
    </row>
    <row r="32">
      <c r="A32" t="s" s="3">
        <v>27</v>
      </c>
      <c r="B32" t="n" s="7">
        <f>(B25)+(B31)</f>
        <v>0.0</v>
      </c>
    </row>
    <row r="33">
      <c r="A33" s="3"/>
      <c r="B33" s="4"/>
    </row>
    <row r="36">
      <c r="A36" s="8" t="s">
        <v>28</v>
      </c>
      <c r="B36"/>
    </row>
  </sheetData>
  <mergeCells count="4">
    <mergeCell ref="A36:B36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2024-01-04T21:18:11Z</dcterms:created>
  <dc:creator>Apache POI</dc:creator>
</cp:coreProperties>
</file>