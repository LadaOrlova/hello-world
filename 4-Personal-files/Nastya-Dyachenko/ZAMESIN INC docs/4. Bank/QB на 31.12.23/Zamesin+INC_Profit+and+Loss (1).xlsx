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<sst xmlns="http://schemas.openxmlformats.org/spreadsheetml/2006/main" count="22" uniqueCount="22">
  <si>
    <t>Total</t>
  </si>
  <si>
    <t>Income</t>
  </si>
  <si>
    <t xml:space="preserve">   Sales</t>
  </si>
  <si>
    <t xml:space="preserve">   Services</t>
  </si>
  <si>
    <t>Total Income</t>
  </si>
  <si>
    <t>Gross Profit</t>
  </si>
  <si>
    <t>Expenses</t>
  </si>
  <si>
    <t xml:space="preserve">   General business expenses</t>
  </si>
  <si>
    <t xml:space="preserve">      Bank fees &amp; service charges</t>
  </si>
  <si>
    <t xml:space="preserve">      Memberships &amp; subscriptions</t>
  </si>
  <si>
    <t xml:space="preserve">   Total General business expenses</t>
  </si>
  <si>
    <t xml:space="preserve">   Office expenses</t>
  </si>
  <si>
    <t xml:space="preserve">      Software &amp; apps</t>
  </si>
  <si>
    <t xml:space="preserve">   Total Office expenses</t>
  </si>
  <si>
    <t xml:space="preserve">   Supplies</t>
  </si>
  <si>
    <t>Total Expenses</t>
  </si>
  <si>
    <t>Net Operating Income</t>
  </si>
  <si>
    <t>Net Income</t>
  </si>
  <si>
    <t>Thursday, Jan 04, 2024 01:17:54 PM GMT-8 - Accrual Basis</t>
  </si>
  <si>
    <t>Zamesin INC</t>
  </si>
  <si>
    <t>Profit and Loss</t>
  </si>
  <si>
    <t>January - December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</si>
</sst>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30.078125" customWidth="true"/>
    <col min="2" max="2" width="13.75" customWidth="true"/>
  </cols>
  <sheetData>
    <row r="1">
      <c r="A1" s="9" t="s">
        <v>19</v>
      </c>
      <c r="B1"/>
    </row>
    <row r="2">
      <c r="A2" s="9" t="s">
        <v>20</v>
      </c>
      <c r="B2"/>
    </row>
    <row r="3">
      <c r="A3" s="10" t="s">
        <v>21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102863.45</f>
        <v>0.0</v>
      </c>
    </row>
    <row r="8">
      <c r="A8" t="s" s="3">
        <v>3</v>
      </c>
      <c r="B8" t="n" s="5">
        <f>810.08</f>
        <v>0.0</v>
      </c>
    </row>
    <row r="9">
      <c r="A9" t="s" s="3">
        <v>4</v>
      </c>
      <c r="B9" t="n" s="6">
        <f>(B7)+(B8)</f>
        <v>0.0</v>
      </c>
    </row>
    <row r="10">
      <c r="A10" t="s" s="3">
        <v>5</v>
      </c>
      <c r="B10" t="n" s="6">
        <f>(B9)-(0)</f>
        <v>0.0</v>
      </c>
    </row>
    <row r="11">
      <c r="A11" t="s" s="3">
        <v>6</v>
      </c>
      <c r="B11" s="4"/>
    </row>
    <row r="12">
      <c r="A12" t="s" s="3">
        <v>7</v>
      </c>
      <c r="B12" s="4"/>
    </row>
    <row r="13">
      <c r="A13" t="s" s="3">
        <v>8</v>
      </c>
      <c r="B13" t="n" s="5">
        <f>3708.36</f>
        <v>0.0</v>
      </c>
    </row>
    <row r="14">
      <c r="A14" t="s" s="3">
        <v>9</v>
      </c>
      <c r="B14" t="n" s="5">
        <f>28998.17</f>
        <v>0.0</v>
      </c>
    </row>
    <row r="15">
      <c r="A15" t="s" s="3">
        <v>10</v>
      </c>
      <c r="B15" t="n" s="6">
        <f>((B12)+(B13))+(B14)</f>
        <v>0.0</v>
      </c>
    </row>
    <row r="16">
      <c r="A16" t="s" s="3">
        <v>11</v>
      </c>
      <c r="B16" s="4"/>
    </row>
    <row r="17">
      <c r="A17" t="s" s="3">
        <v>12</v>
      </c>
      <c r="B17" t="n" s="5">
        <f>54681.97</f>
        <v>0.0</v>
      </c>
    </row>
    <row r="18">
      <c r="A18" t="s" s="3">
        <v>13</v>
      </c>
      <c r="B18" t="n" s="6">
        <f>(B16)+(B17)</f>
        <v>0.0</v>
      </c>
    </row>
    <row r="19">
      <c r="A19" t="s" s="3">
        <v>14</v>
      </c>
      <c r="B19" t="n" s="5">
        <f>26343.95</f>
        <v>0.0</v>
      </c>
    </row>
    <row r="20">
      <c r="A20" t="s" s="3">
        <v>15</v>
      </c>
      <c r="B20" t="n" s="6">
        <f>((B15)+(B18))+(B19)</f>
        <v>0.0</v>
      </c>
    </row>
    <row r="21">
      <c r="A21" t="s" s="3">
        <v>16</v>
      </c>
      <c r="B21" t="n" s="6">
        <f>(B10)-(B20)</f>
        <v>0.0</v>
      </c>
    </row>
    <row r="22">
      <c r="A22" t="s" s="3">
        <v>17</v>
      </c>
      <c r="B22" t="n" s="7">
        <f>(B21)+(0)</f>
        <v>0.0</v>
      </c>
    </row>
    <row r="23">
      <c r="A23" s="3"/>
      <c r="B23" s="4"/>
    </row>
    <row r="26">
      <c r="A26" s="8" t="s">
        <v>18</v>
      </c>
      <c r="B26"/>
    </row>
  </sheetData>
  <mergeCells count="4">
    <mergeCell ref="A26:B26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2024-01-04T21:17:54Z</dcterms:created>
  <dc:creator>Apache POI</dc:creator>
</cp:coreProperties>
</file>