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lance Sheet" r:id="rId3" sheetId="1"/>
  </sheets>
</workbook>
</file>

<file path=xl/sharedStrings.xml><?xml version="1.0" encoding="utf-8"?>
<sst xmlns="http://schemas.openxmlformats.org/spreadsheetml/2006/main" count="29" uniqueCount="29">
  <si>
    <t>Total</t>
  </si>
  <si>
    <t>ASSETS</t>
  </si>
  <si>
    <t xml:space="preserve">   Current Assets</t>
  </si>
  <si>
    <t xml:space="preserve">      Bank Accounts</t>
  </si>
  <si>
    <t xml:space="preserve">         Cash</t>
  </si>
  <si>
    <t xml:space="preserve">         Cash on hand</t>
  </si>
  <si>
    <t xml:space="preserve">         Mercury Checking (9274) - 1</t>
  </si>
  <si>
    <t xml:space="preserve">         Mercury Checking (9918) - 1</t>
  </si>
  <si>
    <t xml:space="preserve">      Total Bank Accounts</t>
  </si>
  <si>
    <t xml:space="preserve">   Total Current Assets</t>
  </si>
  <si>
    <t>TOTAL ASSETS</t>
  </si>
  <si>
    <t>LIABILITIES AND EQUITY</t>
  </si>
  <si>
    <t xml:space="preserve">   Liabilities</t>
  </si>
  <si>
    <t xml:space="preserve">      Current Liabilities</t>
  </si>
  <si>
    <t xml:space="preserve">         Other Current Liabilities</t>
  </si>
  <si>
    <t xml:space="preserve">            Sales tax to pay</t>
  </si>
  <si>
    <t xml:space="preserve">         Total Other Current Liabilities</t>
  </si>
  <si>
    <t xml:space="preserve">      Total Current Liabilities</t>
  </si>
  <si>
    <t xml:space="preserve">   Total Liabilities</t>
  </si>
  <si>
    <t xml:space="preserve">   Equity</t>
  </si>
  <si>
    <t xml:space="preserve">      Common stock</t>
  </si>
  <si>
    <t xml:space="preserve">      Retained Earnings</t>
  </si>
  <si>
    <t xml:space="preserve">      Net Income</t>
  </si>
  <si>
    <t xml:space="preserve">   Total Equity</t>
  </si>
  <si>
    <t>TOTAL LIABILITIES AND EQUITY</t>
  </si>
  <si>
    <t>Saturday, Jun 17, 2023 12:08:15 PM GMT-7 - Accrual Basis</t>
  </si>
  <si>
    <t>Zamesin INC</t>
  </si>
  <si>
    <t>Balance Sheet</t>
  </si>
  <si>
    <t>As of June 30, 2023</t>
  </si>
</sst>
</file>

<file path=xl/styles.xml><?xml version="1.0" encoding="utf-8"?>
<styleSheet xmlns="http://schemas.openxmlformats.org/spreadsheetml/2006/main">
  <numFmts count="2">
    <numFmt numFmtId="164" formatCode="#,##0.00\ _€"/>
    <numFmt numFmtId="165" formatCode="&quot;$&quot;* #,##0.00\ _€"/>
  </numFmts>
  <fonts count="6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8.0"/>
      <b val="true"/>
      <color indexed="8"/>
    </font>
    <font>
      <name val="Arial"/>
      <sz val="8.0"/>
      <color indexed="8"/>
    </font>
    <font>
      <name val="Arial"/>
      <sz val="14.0"/>
      <b val="true"/>
      <color indexed="8"/>
    </font>
    <font>
      <name val="Arial"/>
      <sz val="10.0"/>
      <b val="true"/>
      <color indexed="8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>
      <bottom style="thin"/>
    </border>
    <border>
      <top style="thin"/>
    </border>
    <border>
      <top style="thin"/>
      <bottom>
        <color indexed="6"/>
      </bottom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>
      <alignment wrapText="true"/>
    </xf>
    <xf numFmtId="0" fontId="1" fillId="0" borderId="1" xfId="0" applyBorder="true" applyFont="true">
      <alignment wrapText="true" horizontal="center"/>
    </xf>
    <xf numFmtId="0" fontId="2" fillId="0" borderId="0" xfId="0" applyFont="true">
      <alignment wrapText="true" horizontal="left"/>
    </xf>
    <xf numFmtId="164" fontId="3" fillId="0" borderId="0" xfId="0" applyNumberFormat="true" applyFont="true">
      <alignment wrapText="true"/>
    </xf>
    <xf numFmtId="164" fontId="3" fillId="0" borderId="0" xfId="0" applyNumberFormat="true" applyFont="true">
      <alignment wrapText="true" horizontal="right"/>
    </xf>
    <xf numFmtId="165" fontId="2" fillId="0" borderId="2" xfId="0" applyBorder="true" applyNumberFormat="true" applyFont="true">
      <alignment wrapText="true" horizontal="right"/>
    </xf>
    <xf numFmtId="165" fontId="2" fillId="0" borderId="3" xfId="0" applyBorder="true" applyNumberFormat="true" applyFont="true">
      <alignment wrapText="true" horizontal="right"/>
    </xf>
    <xf numFmtId="0" fontId="3" fillId="0" borderId="0" xfId="0" applyFont="true">
      <alignment wrapText="false" horizontal="center"/>
    </xf>
    <xf numFmtId="0" fontId="4" fillId="0" borderId="0" xfId="0" applyFont="true">
      <alignment wrapText="false" horizontal="center"/>
    </xf>
    <xf numFmtId="0" fontId="5" fillId="0" borderId="0" xfId="0" applyFont="true">
      <alignment wrapText="fals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3"/>
  <sheetViews>
    <sheetView workbookViewId="0" tabSelected="true"/>
  </sheetViews>
  <sheetFormatPr defaultRowHeight="15.0"/>
  <cols>
    <col min="1" max="1" width="35.234375" customWidth="true"/>
    <col min="2" max="2" width="12.03125" customWidth="true"/>
  </cols>
  <sheetData>
    <row r="1">
      <c r="A1" s="9" t="s">
        <v>26</v>
      </c>
      <c r="B1"/>
    </row>
    <row r="2">
      <c r="A2" s="9" t="s">
        <v>27</v>
      </c>
      <c r="B2"/>
    </row>
    <row r="3">
      <c r="A3" s="10" t="s">
        <v>28</v>
      </c>
      <c r="B3"/>
    </row>
    <row r="5">
      <c r="A5" s="1"/>
      <c r="B5" t="s" s="2">
        <v>0</v>
      </c>
    </row>
    <row r="6">
      <c r="A6" t="s" s="3">
        <v>1</v>
      </c>
      <c r="B6" s="4"/>
    </row>
    <row r="7">
      <c r="A7" t="s" s="3">
        <v>2</v>
      </c>
      <c r="B7" s="4"/>
    </row>
    <row r="8">
      <c r="A8" t="s" s="3">
        <v>3</v>
      </c>
      <c r="B8" s="4"/>
    </row>
    <row r="9">
      <c r="A9" t="s" s="3">
        <v>4</v>
      </c>
      <c r="B9" t="n" s="5">
        <f>0.00</f>
        <v>0.0</v>
      </c>
    </row>
    <row r="10">
      <c r="A10" t="s" s="3">
        <v>5</v>
      </c>
      <c r="B10" t="n" s="5">
        <f>100.00</f>
        <v>0.0</v>
      </c>
    </row>
    <row r="11">
      <c r="A11" t="s" s="3">
        <v>6</v>
      </c>
      <c r="B11" t="n" s="5">
        <f>8915.69</f>
        <v>0.0</v>
      </c>
    </row>
    <row r="12">
      <c r="A12" t="s" s="3">
        <v>7</v>
      </c>
      <c r="B12" t="n" s="5">
        <f>771.74</f>
        <v>0.0</v>
      </c>
    </row>
    <row r="13">
      <c r="A13" t="s" s="3">
        <v>8</v>
      </c>
      <c r="B13" t="n" s="6">
        <f>(((B9)+(B10))+(B11))+(B12)</f>
        <v>0.0</v>
      </c>
    </row>
    <row r="14">
      <c r="A14" t="s" s="3">
        <v>9</v>
      </c>
      <c r="B14" t="n" s="6">
        <f>B13</f>
        <v>0.0</v>
      </c>
    </row>
    <row r="15">
      <c r="A15" t="s" s="3">
        <v>10</v>
      </c>
      <c r="B15" t="n" s="7">
        <f>B14</f>
        <v>0.0</v>
      </c>
    </row>
    <row r="16">
      <c r="A16" t="s" s="3">
        <v>11</v>
      </c>
      <c r="B16" s="4"/>
    </row>
    <row r="17">
      <c r="A17" t="s" s="3">
        <v>12</v>
      </c>
      <c r="B17" s="4"/>
    </row>
    <row r="18">
      <c r="A18" t="s" s="3">
        <v>13</v>
      </c>
      <c r="B18" s="4"/>
    </row>
    <row r="19">
      <c r="A19" t="s" s="3">
        <v>14</v>
      </c>
      <c r="B19" s="4"/>
    </row>
    <row r="20">
      <c r="A20" t="s" s="3">
        <v>15</v>
      </c>
      <c r="B20" t="n" s="5">
        <f>-813.05</f>
        <v>0.0</v>
      </c>
    </row>
    <row r="21">
      <c r="A21" t="s" s="3">
        <v>16</v>
      </c>
      <c r="B21" t="n" s="6">
        <f>B20</f>
        <v>0.0</v>
      </c>
    </row>
    <row r="22">
      <c r="A22" t="s" s="3">
        <v>17</v>
      </c>
      <c r="B22" t="n" s="6">
        <f>B21</f>
        <v>0.0</v>
      </c>
    </row>
    <row r="23">
      <c r="A23" t="s" s="3">
        <v>18</v>
      </c>
      <c r="B23" t="n" s="6">
        <f>B22</f>
        <v>0.0</v>
      </c>
    </row>
    <row r="24">
      <c r="A24" t="s" s="3">
        <v>19</v>
      </c>
      <c r="B24" s="4"/>
    </row>
    <row r="25">
      <c r="A25" t="s" s="3">
        <v>20</v>
      </c>
      <c r="B25" t="n" s="5">
        <f>100.00</f>
        <v>0.0</v>
      </c>
    </row>
    <row r="26">
      <c r="A26" t="s" s="3">
        <v>21</v>
      </c>
      <c r="B26" t="n" s="5">
        <f>0</f>
        <v>0.0</v>
      </c>
    </row>
    <row r="27">
      <c r="A27" t="s" s="3">
        <v>22</v>
      </c>
      <c r="B27" t="n" s="5">
        <f>10500.48</f>
        <v>0.0</v>
      </c>
    </row>
    <row r="28">
      <c r="A28" t="s" s="3">
        <v>23</v>
      </c>
      <c r="B28" t="n" s="6">
        <f>((B25)+(B26))+(B27)</f>
        <v>0.0</v>
      </c>
    </row>
    <row r="29">
      <c r="A29" t="s" s="3">
        <v>24</v>
      </c>
      <c r="B29" t="n" s="7">
        <f>(B23)+(B28)</f>
        <v>0.0</v>
      </c>
    </row>
    <row r="30">
      <c r="A30" s="3"/>
      <c r="B30" s="4"/>
    </row>
    <row r="33">
      <c r="A33" s="8" t="s">
        <v>25</v>
      </c>
      <c r="B33"/>
    </row>
  </sheetData>
  <mergeCells count="4">
    <mergeCell ref="A33:B33"/>
    <mergeCell ref="A1:B1"/>
    <mergeCell ref="A2:B2"/>
    <mergeCell ref="A3:B3"/>
  </mergeCells>
  <pageMargins bottom="0.75" footer="0.3" header="0.3" left="0.7" right="0.7" top="0.75"/>
  <headerFooter>
    <oddHeader/>
    <oddFooter/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2023-06-17T19:08:15Z</dcterms:created>
  <dc:creator>Apache POI</dc:creator>
</cp:coreProperties>
</file>