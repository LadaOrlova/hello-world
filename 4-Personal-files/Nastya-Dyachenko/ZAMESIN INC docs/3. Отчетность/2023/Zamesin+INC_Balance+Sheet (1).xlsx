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Наталия2\Documents\5 Zamesin INC\3. Отчетность\2023\"/>
    </mc:Choice>
  </mc:AlternateContent>
  <xr:revisionPtr revIDLastSave="0" documentId="13_ncr:1_{1A016E91-E69B-497A-A90A-344A79F311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lance 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9" i="1" l="1"/>
  <c r="B28" i="1"/>
  <c r="B27" i="1"/>
  <c r="B31" i="1" s="1"/>
  <c r="B22" i="1"/>
  <c r="B21" i="1"/>
  <c r="B23" i="1" s="1"/>
  <c r="B24" i="1" s="1"/>
  <c r="B25" i="1" s="1"/>
  <c r="B32" i="1" s="1"/>
  <c r="B13" i="1"/>
  <c r="B12" i="1"/>
  <c r="B11" i="1"/>
  <c r="B14" i="1" s="1"/>
  <c r="B15" i="1" s="1"/>
  <c r="B16" i="1" s="1"/>
  <c r="B10" i="1"/>
  <c r="B9" i="1"/>
</calcChain>
</file>

<file path=xl/sharedStrings.xml><?xml version="1.0" encoding="utf-8"?>
<sst xmlns="http://schemas.openxmlformats.org/spreadsheetml/2006/main" count="31" uniqueCount="31">
  <si>
    <t>Total</t>
  </si>
  <si>
    <t>ASSETS</t>
  </si>
  <si>
    <t xml:space="preserve">   Current Assets</t>
  </si>
  <si>
    <t xml:space="preserve">      Bank Accounts</t>
  </si>
  <si>
    <t xml:space="preserve">         Cash</t>
  </si>
  <si>
    <t xml:space="preserve">         Cash on hand</t>
  </si>
  <si>
    <t xml:space="preserve">         Mercury Checking (3465) - 1</t>
  </si>
  <si>
    <t xml:space="preserve">         Mercury Checking (9274) - 1</t>
  </si>
  <si>
    <t xml:space="preserve">         Mercury Checking (9918) - 1</t>
  </si>
  <si>
    <t xml:space="preserve">      Total Bank Accounts</t>
  </si>
  <si>
    <t xml:space="preserve">   Total Current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</si>
  <si>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</si>
  <si>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</si>
  <si>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</si>
  <si>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</si>
  <si>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Other Current Liabilities</t>
  </si>
  <si>
    <t xml:space="preserve">            Sales tax to pay</t>
  </si>
  <si>
    <t xml:space="preserve">            Short-term business loans</t>
  </si>
  <si>
    <t xml:space="preserve">         Total Other Current Liabilities</t>
  </si>
  <si>
    <t xml:space="preserve">      Total Current Liabilities</t>
  </si>
  <si>
    <t xml:space="preserve">   Total Liabilities</t>
  </si>
  <si>
    <t xml:space="preserve">   Equity</t>
  </si>
  <si>
    <t xml:space="preserve">      Common stock</t>
  </si>
  <si>
    <t xml:space="preserve">      Opening balance equity</t>
  </si>
  <si>
    <t xml:space="preserve">      Retained Earnings</t>
  </si>
  <si>
    <t xml:space="preserve">      Net Income</t>
  </si>
  <si>
    <t xml:space="preserve">   Total Equity</t>
  </si>
  <si>
    <t>TOTAL LIABILITIES AND EQUITY</t>
  </si>
  <si>
    <t>Zamesin INC</t>
  </si>
  <si>
    <t>Balance Sheet</t>
  </si>
  <si>
    <t>As of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</si>
</sst>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6" x14ac:knownFonts="1">
    <font>
      <sz val="11"/>
      <color indexed="8"/>
      <name val="Calibri"/>
      <family val="2"/>
      <scheme val="minor"/>
    </font>
    <font>
      <b/>
      <sz val="9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14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H40" sqref="H40"/>
    </sheetView>
  </sheetViews>
  <sheetFormatPr defaultRowHeight="14.4" x14ac:dyDescent="0.3"/>
  <cols>
    <col min="1" max="1" width="35.21875" customWidth="1"/>
    <col min="2" max="2" width="12" customWidth="1"/>
  </cols>
  <sheetData>
    <row r="1" spans="1:2" ht="17.399999999999999" x14ac:dyDescent="0.3">
      <c r="A1" s="10" t="s">
        <v>28</v>
      </c>
      <c r="B1" s="9"/>
    </row>
    <row r="2" spans="1:2" ht="17.399999999999999" x14ac:dyDescent="0.3">
      <c r="A2" s="10" t="s">
        <v>29</v>
      </c>
      <c r="B2" s="9"/>
    </row>
    <row r="3" spans="1:2" x14ac:dyDescent="0.3">
      <c r="A3" s="11" t="s">
        <v>30</v>
      </c>
      <c r="B3" s="9"/>
    </row>
    <row r="5" spans="1:2" x14ac:dyDescent="0.3">
      <c r="A5" s="1"/>
      <c r="B5" s="2" t="s">
        <v>0</v>
      </c>
    </row>
    <row r="6" spans="1:2" x14ac:dyDescent="0.3">
      <c r="A6" s="3" t="s">
        <v>1</v>
      </c>
      <c r="B6" s="4"/>
    </row>
    <row r="7" spans="1:2" x14ac:dyDescent="0.3">
      <c r="A7" s="3" t="s">
        <v>2</v>
      </c>
      <c r="B7" s="4"/>
    </row>
    <row r="8" spans="1:2" x14ac:dyDescent="0.3">
      <c r="A8" s="3" t="s">
        <v>3</v>
      </c>
      <c r="B8" s="4"/>
    </row>
    <row r="9" spans="1:2" x14ac:dyDescent="0.3">
      <c r="A9" s="3" t="s">
        <v>4</v>
      </c>
      <c r="B9" s="5">
        <f>810.08</f>
        <v>810.08</v>
      </c>
    </row>
    <row r="10" spans="1:2" x14ac:dyDescent="0.3">
      <c r="A10" s="3" t="s">
        <v>5</v>
      </c>
      <c r="B10" s="5">
        <f>100</f>
        <v>100</v>
      </c>
    </row>
    <row r="11" spans="1:2" x14ac:dyDescent="0.3">
      <c r="A11" s="3" t="s">
        <v>6</v>
      </c>
      <c r="B11" s="5">
        <f>175.25</f>
        <v>175.25</v>
      </c>
    </row>
    <row r="12" spans="1:2" x14ac:dyDescent="0.3">
      <c r="A12" s="3" t="s">
        <v>7</v>
      </c>
      <c r="B12" s="5">
        <f>0.2</f>
        <v>0.2</v>
      </c>
    </row>
    <row r="13" spans="1:2" x14ac:dyDescent="0.3">
      <c r="A13" s="3" t="s">
        <v>8</v>
      </c>
      <c r="B13" s="5">
        <f>9.5</f>
        <v>9.5</v>
      </c>
    </row>
    <row r="14" spans="1:2" x14ac:dyDescent="0.3">
      <c r="A14" s="3" t="s">
        <v>9</v>
      </c>
      <c r="B14" s="6">
        <f>((((B9)+(B10))+(B11))+(B12))+(B13)</f>
        <v>1095.03</v>
      </c>
    </row>
    <row r="15" spans="1:2" x14ac:dyDescent="0.3">
      <c r="A15" s="3" t="s">
        <v>10</v>
      </c>
      <c r="B15" s="6">
        <f>B14</f>
        <v>1095.03</v>
      </c>
    </row>
    <row r="16" spans="1:2" x14ac:dyDescent="0.3">
      <c r="A16" s="3" t="s">
        <v>11</v>
      </c>
      <c r="B16" s="7">
        <f>B15</f>
        <v>1095.03</v>
      </c>
    </row>
    <row r="17" spans="1:2" x14ac:dyDescent="0.3">
      <c r="A17" s="3" t="s">
        <v>12</v>
      </c>
      <c r="B17" s="4"/>
    </row>
    <row r="18" spans="1:2" x14ac:dyDescent="0.3">
      <c r="A18" s="3" t="s">
        <v>13</v>
      </c>
      <c r="B18" s="4"/>
    </row>
    <row r="19" spans="1:2" x14ac:dyDescent="0.3">
      <c r="A19" s="3" t="s">
        <v>14</v>
      </c>
      <c r="B19" s="4"/>
    </row>
    <row r="20" spans="1:2" x14ac:dyDescent="0.3">
      <c r="A20" s="3" t="s">
        <v>15</v>
      </c>
      <c r="B20" s="4"/>
    </row>
    <row r="21" spans="1:2" x14ac:dyDescent="0.3">
      <c r="A21" s="3" t="s">
        <v>16</v>
      </c>
      <c r="B21" s="5">
        <f>-813.05</f>
        <v>-813.05</v>
      </c>
    </row>
    <row r="22" spans="1:2" x14ac:dyDescent="0.3">
      <c r="A22" s="3" t="s">
        <v>17</v>
      </c>
      <c r="B22" s="5">
        <f>11867</f>
        <v>11867</v>
      </c>
    </row>
    <row r="23" spans="1:2" x14ac:dyDescent="0.3">
      <c r="A23" s="3" t="s">
        <v>18</v>
      </c>
      <c r="B23" s="6">
        <f>(B21)+(B22)</f>
        <v>11053.95</v>
      </c>
    </row>
    <row r="24" spans="1:2" x14ac:dyDescent="0.3">
      <c r="A24" s="3" t="s">
        <v>19</v>
      </c>
      <c r="B24" s="6">
        <f>B23</f>
        <v>11053.95</v>
      </c>
    </row>
    <row r="25" spans="1:2" x14ac:dyDescent="0.3">
      <c r="A25" s="3" t="s">
        <v>20</v>
      </c>
      <c r="B25" s="6">
        <f>B24</f>
        <v>11053.95</v>
      </c>
    </row>
    <row r="26" spans="1:2" x14ac:dyDescent="0.3">
      <c r="A26" s="3" t="s">
        <v>21</v>
      </c>
      <c r="B26" s="4"/>
    </row>
    <row r="27" spans="1:2" x14ac:dyDescent="0.3">
      <c r="A27" s="3" t="s">
        <v>22</v>
      </c>
      <c r="B27" s="5">
        <f>100</f>
        <v>100</v>
      </c>
    </row>
    <row r="28" spans="1:2" x14ac:dyDescent="0.3">
      <c r="A28" s="3" t="s">
        <v>23</v>
      </c>
      <c r="B28" s="5">
        <f>0</f>
        <v>0</v>
      </c>
    </row>
    <row r="29" spans="1:2" x14ac:dyDescent="0.3">
      <c r="A29" s="3" t="s">
        <v>24</v>
      </c>
      <c r="B29" s="5">
        <f>-10058.92</f>
        <v>-10058.92</v>
      </c>
    </row>
    <row r="30" spans="1:2" x14ac:dyDescent="0.3">
      <c r="A30" s="3" t="s">
        <v>25</v>
      </c>
      <c r="B30" s="4"/>
    </row>
    <row r="31" spans="1:2" x14ac:dyDescent="0.3">
      <c r="A31" s="3" t="s">
        <v>26</v>
      </c>
      <c r="B31" s="6">
        <f>(((B27)+(B28))+(B29))+(B30)</f>
        <v>-9958.92</v>
      </c>
    </row>
    <row r="32" spans="1:2" x14ac:dyDescent="0.3">
      <c r="A32" s="3" t="s">
        <v>27</v>
      </c>
      <c r="B32" s="7">
        <f>(B25)+(B31)</f>
        <v>1095.0300000000007</v>
      </c>
    </row>
    <row r="33" spans="1:2" x14ac:dyDescent="0.3">
      <c r="A33" s="3"/>
      <c r="B33" s="4"/>
    </row>
    <row r="36" spans="1:2" x14ac:dyDescent="0.3">
      <c r="A36" s="8"/>
      <c r="B36" s="9"/>
    </row>
  </sheetData>
  <mergeCells count="4">
    <mergeCell ref="A36:B36"/>
    <mergeCell ref="A1:B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Наталия2</cp:lastModifiedBy>
  <dcterms:created xsi:type="dcterms:W3CDTF">2024-01-04T21:18:11Z</dcterms:created>
  <dcterms:modified xsi:type="dcterms:W3CDTF">2024-01-04T21:22:14Z</dcterms:modified>
</cp:coreProperties>
</file>