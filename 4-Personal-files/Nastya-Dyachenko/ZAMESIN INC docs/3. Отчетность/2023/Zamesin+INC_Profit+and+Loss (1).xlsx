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аталия2\Documents\5 Zamesin INC\3. Отчетность\2023\"/>
    </mc:Choice>
  </mc:AlternateContent>
  <xr:revisionPtr revIDLastSave="0" documentId="13_ncr:1_{85CA49CB-65D4-4501-998E-2093EE7066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fit and Loss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5" i="1"/>
  <c r="B20" i="1" s="1"/>
  <c r="B14" i="1"/>
  <c r="B13" i="1"/>
  <c r="B8" i="1"/>
  <c r="B7" i="1"/>
  <c r="B9" i="1" s="1"/>
  <c r="B10" i="1" s="1"/>
  <c r="B21" i="1" l="1"/>
  <c r="B22" i="1" s="1"/>
</calcChain>
</file>

<file path=xl/sharedStrings.xml><?xml version="1.0" encoding="utf-8"?>
<sst xmlns="http://schemas.openxmlformats.org/spreadsheetml/2006/main" count="21" uniqueCount="21">
  <si>
    <t>Total</t>
  </si>
  <si>
    <t>Income</t>
  </si>
  <si>
    <t xml:space="preserve">   Sales</t>
  </si>
  <si>
    <t xml:space="preserve">   Services</t>
  </si>
  <si>
    <t>Total Income</t>
  </si>
  <si>
    <t>Gross Profit</t>
  </si>
  <si>
    <t>Expenses</t>
  </si>
  <si>
    <t xml:space="preserve">   General business expenses</t>
  </si>
  <si>
    <t xml:space="preserve">      Bank fees &amp; service charges</t>
  </si>
  <si>
    <t xml:space="preserve">      Memberships &amp; subscriptions</t>
  </si>
  <si>
    <t xml:space="preserve">   Total General business expenses</t>
  </si>
  <si>
    <t xml:space="preserve">   Office expenses</t>
  </si>
  <si>
    <t xml:space="preserve">      Software &amp; apps</t>
  </si>
  <si>
    <t xml:space="preserve">   Total Office expenses</t>
  </si>
  <si>
    <t xml:space="preserve">   Supplies</t>
  </si>
  <si>
    <t>Total Expenses</t>
  </si>
  <si>
    <t>Net Operating Income</t>
  </si>
  <si>
    <t>Net Income</t>
  </si>
  <si>
    <t>Zamesin INC</t>
  </si>
  <si>
    <t>Profit and Loss</t>
  </si>
  <si>
    <t>January - December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</si>
</sst>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G16" sqref="G16"/>
    </sheetView>
  </sheetViews>
  <sheetFormatPr defaultRowHeight="14.4" x14ac:dyDescent="0.3"/>
  <cols>
    <col min="1" max="1" width="30.109375" customWidth="1"/>
    <col min="2" max="2" width="13.77734375" customWidth="1"/>
  </cols>
  <sheetData>
    <row r="1" spans="1:2" ht="17.399999999999999" x14ac:dyDescent="0.3">
      <c r="A1" s="10" t="s">
        <v>18</v>
      </c>
      <c r="B1" s="9"/>
    </row>
    <row r="2" spans="1:2" ht="17.399999999999999" x14ac:dyDescent="0.3">
      <c r="A2" s="10" t="s">
        <v>19</v>
      </c>
      <c r="B2" s="9"/>
    </row>
    <row r="3" spans="1:2" x14ac:dyDescent="0.3">
      <c r="A3" s="11" t="s">
        <v>20</v>
      </c>
      <c r="B3" s="9"/>
    </row>
    <row r="5" spans="1:2" x14ac:dyDescent="0.3">
      <c r="A5" s="1"/>
      <c r="B5" s="2" t="s">
        <v>0</v>
      </c>
    </row>
    <row r="6" spans="1:2" x14ac:dyDescent="0.3">
      <c r="A6" s="3" t="s">
        <v>1</v>
      </c>
      <c r="B6" s="4"/>
    </row>
    <row r="7" spans="1:2" x14ac:dyDescent="0.3">
      <c r="A7" s="3" t="s">
        <v>2</v>
      </c>
      <c r="B7" s="5">
        <f>102863.45</f>
        <v>102863.45</v>
      </c>
    </row>
    <row r="8" spans="1:2" x14ac:dyDescent="0.3">
      <c r="A8" s="3" t="s">
        <v>3</v>
      </c>
      <c r="B8" s="5">
        <f>810.08</f>
        <v>810.08</v>
      </c>
    </row>
    <row r="9" spans="1:2" x14ac:dyDescent="0.3">
      <c r="A9" s="3" t="s">
        <v>4</v>
      </c>
      <c r="B9" s="6">
        <f>(B7)+(B8)</f>
        <v>103673.53</v>
      </c>
    </row>
    <row r="10" spans="1:2" x14ac:dyDescent="0.3">
      <c r="A10" s="3" t="s">
        <v>5</v>
      </c>
      <c r="B10" s="6">
        <f>(B9)-(0)</f>
        <v>103673.53</v>
      </c>
    </row>
    <row r="11" spans="1:2" x14ac:dyDescent="0.3">
      <c r="A11" s="3" t="s">
        <v>6</v>
      </c>
      <c r="B11" s="4"/>
    </row>
    <row r="12" spans="1:2" x14ac:dyDescent="0.3">
      <c r="A12" s="3" t="s">
        <v>7</v>
      </c>
      <c r="B12" s="4"/>
    </row>
    <row r="13" spans="1:2" x14ac:dyDescent="0.3">
      <c r="A13" s="3" t="s">
        <v>8</v>
      </c>
      <c r="B13" s="5">
        <f>3708.36</f>
        <v>3708.36</v>
      </c>
    </row>
    <row r="14" spans="1:2" x14ac:dyDescent="0.3">
      <c r="A14" s="3" t="s">
        <v>9</v>
      </c>
      <c r="B14" s="5">
        <f>28998.17</f>
        <v>28998.17</v>
      </c>
    </row>
    <row r="15" spans="1:2" x14ac:dyDescent="0.3">
      <c r="A15" s="3" t="s">
        <v>10</v>
      </c>
      <c r="B15" s="6">
        <f>((B12)+(B13))+(B14)</f>
        <v>32706.53</v>
      </c>
    </row>
    <row r="16" spans="1:2" x14ac:dyDescent="0.3">
      <c r="A16" s="3" t="s">
        <v>11</v>
      </c>
      <c r="B16" s="4"/>
    </row>
    <row r="17" spans="1:2" x14ac:dyDescent="0.3">
      <c r="A17" s="3" t="s">
        <v>12</v>
      </c>
      <c r="B17" s="5">
        <f>54681.97</f>
        <v>54681.97</v>
      </c>
    </row>
    <row r="18" spans="1:2" x14ac:dyDescent="0.3">
      <c r="A18" s="3" t="s">
        <v>13</v>
      </c>
      <c r="B18" s="6">
        <f>(B16)+(B17)</f>
        <v>54681.97</v>
      </c>
    </row>
    <row r="19" spans="1:2" x14ac:dyDescent="0.3">
      <c r="A19" s="3" t="s">
        <v>14</v>
      </c>
      <c r="B19" s="5">
        <f>26343.95</f>
        <v>26343.95</v>
      </c>
    </row>
    <row r="20" spans="1:2" x14ac:dyDescent="0.3">
      <c r="A20" s="3" t="s">
        <v>15</v>
      </c>
      <c r="B20" s="6">
        <f>((B15)+(B18))+(B19)</f>
        <v>113732.45</v>
      </c>
    </row>
    <row r="21" spans="1:2" x14ac:dyDescent="0.3">
      <c r="A21" s="3" t="s">
        <v>16</v>
      </c>
      <c r="B21" s="6">
        <f>(B10)-(B20)</f>
        <v>-10058.919999999998</v>
      </c>
    </row>
    <row r="22" spans="1:2" x14ac:dyDescent="0.3">
      <c r="A22" s="3" t="s">
        <v>17</v>
      </c>
      <c r="B22" s="7">
        <f>(B21)+(0)</f>
        <v>-10058.919999999998</v>
      </c>
    </row>
    <row r="23" spans="1:2" x14ac:dyDescent="0.3">
      <c r="A23" s="3"/>
      <c r="B23" s="4"/>
    </row>
    <row r="26" spans="1:2" x14ac:dyDescent="0.3">
      <c r="A26" s="8"/>
      <c r="B26" s="9"/>
    </row>
  </sheetData>
  <mergeCells count="4">
    <mergeCell ref="A26:B26"/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Profit and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Наталия2</cp:lastModifiedBy>
  <dcterms:created xsi:type="dcterms:W3CDTF">2024-01-04T21:17:54Z</dcterms:created>
  <dcterms:modified xsi:type="dcterms:W3CDTF">2024-01-04T21:22:32Z</dcterms:modified>
</cp:coreProperties>
</file>